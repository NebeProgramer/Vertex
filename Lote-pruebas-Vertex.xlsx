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te" sheetId="1" state="visible" r:id="rId1"/>
    <sheet xmlns:r="http://schemas.openxmlformats.org/officeDocument/2006/relationships" name="Cómo usar"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Consolas"/>
      <sz val="9"/>
    </font>
    <font>
      <name val="Arial"/>
      <b val="1"/>
      <sz val="14"/>
    </font>
    <font>
      <name val="Arial"/>
      <b val="1"/>
      <sz val="10"/>
    </font>
  </fonts>
  <fills count="5">
    <fill>
      <patternFill/>
    </fill>
    <fill>
      <patternFill patternType="gray125"/>
    </fill>
    <fill>
      <patternFill patternType="solid">
        <fgColor rgb="001F3864"/>
      </patternFill>
    </fill>
    <fill>
      <patternFill patternType="solid">
        <fgColor rgb="00FFFF9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4" fillId="0" borderId="0" pivotButton="0" quotePrefix="0" xfId="0"/>
    <xf numFmtId="0" fontId="5" fillId="4" borderId="1" applyAlignment="1" pivotButton="0" quotePrefix="0" xfId="0">
      <alignment vertical="top" wrapText="1"/>
    </xf>
    <xf numFmtId="0" fontId="5" fillId="0" borderId="1" applyAlignment="1" pivotButton="0" quotePrefix="0" xfId="0">
      <alignment horizontal="center" vertical="top" wrapText="1"/>
    </xf>
    <xf numFmtId="10" fontId="5" fillId="0" borderId="1" applyNumberFormat="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58" customWidth="1" min="3" max="3"/>
    <col width="52" customWidth="1" min="4" max="4"/>
    <col width="42" customWidth="1" min="5" max="5"/>
    <col width="40" customWidth="1" min="6" max="6"/>
    <col width="40" customWidth="1" min="7" max="7"/>
    <col width="9" customWidth="1" min="8" max="8"/>
    <col width="60" customWidth="1" min="9" max="9"/>
  </cols>
  <sheetData>
    <row r="1" ht="22" customHeight="1">
      <c r="A1" s="1" t="inlineStr">
        <is>
          <t>#</t>
        </is>
      </c>
      <c r="B1" s="1" t="inlineStr">
        <is>
          <t>Qué prueba</t>
        </is>
      </c>
      <c r="C1" s="1" t="inlineStr">
        <is>
          <t>Enunciado</t>
        </is>
      </c>
      <c r="D1" s="1" t="inlineStr">
        <is>
          <t>Json esperado</t>
        </is>
      </c>
      <c r="E1" s="1" t="inlineStr">
        <is>
          <t>Json respondido</t>
        </is>
      </c>
      <c r="F1" s="1" t="inlineStr">
        <is>
          <t>Resultado esperado</t>
        </is>
      </c>
      <c r="G1" s="1" t="inlineStr">
        <is>
          <t>Resultado dado</t>
        </is>
      </c>
      <c r="H1" s="1" t="inlineStr">
        <is>
          <t xml:space="preserve">¿Pasa?</t>
        </is>
      </c>
      <c r="I1" s="1" t="inlineStr">
        <is>
          <t xml:space="preserve">Detalle / causa</t>
        </is>
      </c>
    </row>
    <row r="2" ht="100.5" customHeight="1">
      <c r="A2" s="2" t="n">
        <v>1</v>
      </c>
      <c r="B2" s="3" t="inlineStr">
        <is>
          <t>2 variables, todo ≤, coeficientes decimales → Gráfico</t>
        </is>
      </c>
      <c r="C2" s="3" t="inlineStr">
        <is>
          <t>Una panadería elabora panes y pasteles. Cada pan deja una utilidad de $1.200 y cada pastel de $2.000. Un pan usa 0,4 kg de harina y un pastel 0,5 kg, y hay 55 kg de harina disponibles. En el horno, un pan ocupa 1 minuto y un pastel 2 minutos, y hay 180 minutos de horno disponibles. Por contrato, no se pueden vender más de 60 panes. ¿Cuántos panes y pasteles conviene producir para maximizar la utilidad?</t>
        </is>
      </c>
      <c r="D2" s="4" t="inlineStr">
        <is>
          <t>{"Tipo": "Max", "z": "1200x1 + 2000x2", "R": ["0.4x1 + 0.5x2 &lt;= 55", "x1 + 2x2 &lt;= 180", "x1 &lt;= 60"], "Metodos": ["Grafico", "Simplex"]}</t>
        </is>
      </c>
      <c r="E2" s="5" t="inlineStr">
        <is>
          <t xml:space="preserve">{"Tipo": "Max", "z": "1200x1+2000x2", "R": ["0.4x1+0.5x2&lt;=55", "x1+2x2&lt;=180", "x1&lt;=60"], "Metodos": ["Grafico", "Simplex"]}</t>
        </is>
      </c>
      <c r="F2" s="3" t="inlineStr">
        <is>
          <t>x1 = 60, x2 = 60 | Z = 192000</t>
        </is>
      </c>
      <c r="G2" s="5" t="inlineStr">
        <is>
          <t xml:space="preserve">Grafico: x1 = 60, x2 = 60 | Z = 192000
Simplex: x1 = 60, x2 = 60 | Z = 192000</t>
        </is>
      </c>
      <c r="H2" s="8" t="inlineStr">
        <is>
          <t xml:space="preserve">Sí</t>
        </is>
      </c>
      <c r="I2" s="3" t="inlineStr">
        <is>
          <t xml:space="preserve">Coincide con el esperado: mismas variables y mismo Z (tolerancia 0,01) con todos los métodos marcados, y los métodos cumplen las reglas. Avisos de Vertex: Modelo generado por la IA. Revisa Z y las restricciones antes de calcular. (IA: 4.6 s)</t>
        </is>
      </c>
    </row>
    <row r="3" ht="100.5" customHeight="1">
      <c r="A3" s="2" t="n">
        <v>2</v>
      </c>
      <c r="B3" s="3" t="inlineStr">
        <is>
          <t>3 variables, todo ≤, decimales → Simplex</t>
        </is>
      </c>
      <c r="C3" s="3" t="inlineStr">
        <is>
          <t>Una fábrica de velas produce velas pequeñas, medianas y grandes, con utilidades de 6,5; 4 y 6 dólares por unidad. Cada vela usa respectivamente 0,5; 0,4 y 0,6 kg de cera, y hay 28 kg disponibles. La mano de obra requerida es de 3, 1 y 2 horas por vela, con 110 horas disponibles en total. Además, el empaque solo admite 60 velas por semana entre todos los tamaños. ¿Cuántas velas de cada tamaño debe fabricar para maximizar la utilidad?</t>
        </is>
      </c>
      <c r="D3" s="4" t="inlineStr">
        <is>
          <t>{"Tipo": "Max", "z": "6.5x1 + 4x2 + 6x3", "R": ["0.5x1 + 0.4x2 + 0.6x3 &lt;= 28", "3x1 + x2 + 2x3 &lt;= 110", "x1 + x2 + x3 &lt;= 60"], "Metodos": ["Simplex", "Numerico"]}</t>
        </is>
      </c>
      <c r="E3" s="5" t="inlineStr">
        <is>
          <t xml:space="preserve">{"Tipo": "Max", "z": "6.5x1+4x2+6x3", "R": ["0.5x1+0.4x2+0.6x3&lt;=28", "3x1+x2+2x3&lt;=110", "x1+x2+x3&lt;=60"], "Metodos": ["Simplex", "Numerico"]}</t>
        </is>
      </c>
      <c r="F3" s="3" t="inlineStr">
        <is>
          <t>x1 = 20, x2 = 30, x3 = 10 | Z = 310</t>
        </is>
      </c>
      <c r="G3" s="5" t="inlineStr">
        <is>
          <t xml:space="preserve">Simplex: x1 = 20, x2 = 30, x3 = 10 | Z = 310
Numerico: x1 = 20, x2 = 30, x3 = 10 | Z = 310</t>
        </is>
      </c>
      <c r="H3" s="8" t="inlineStr">
        <is>
          <t xml:space="preserve">Sí</t>
        </is>
      </c>
      <c r="I3" s="3" t="inlineStr">
        <is>
          <t xml:space="preserve">Coincide con el esperado: mismas variables y mismo Z (tolerancia 0,01) con todos los métodos marcados, y los métodos cumplen las reglas. Avisos de Vertex: Modelo generado por la IA. Revisa Z y las restricciones antes de calcular. (IA: 4.9 s)</t>
        </is>
      </c>
    </row>
    <row r="4" ht="87" customHeight="1">
      <c r="A4" s="2" t="n">
        <v>3</v>
      </c>
      <c r="B4" s="3" t="inlineStr">
        <is>
          <t>Minimización con ≥, 2 variables → Simplex Dual / Big M</t>
        </is>
      </c>
      <c r="C4" s="3" t="inlineStr">
        <is>
          <t>Un criador de ganado mezcla maíz y soya para el alimento diario. El maíz cuesta 0,30 dólares por kg y la soya 0,90. Cada kg de maíz aporta 0,09 kg de proteína y 3,4 Mcal de energía; cada kg de soya aporta 0,60 kg de proteína y 2,5 Mcal. La mezcla debe aportar al menos 30 kg de proteína y al menos 730 Mcal de energía. ¿Cuántos kg de cada ingrediente minimizan el costo?</t>
        </is>
      </c>
      <c r="D4" s="4" t="inlineStr">
        <is>
          <t>{"Tipo": "Min", "z": "0.3x1 + 0.9x2", "R": ["0.09x1 + 0.6x2 &gt;= 30", "3.4x1 + 2.5x2 &gt;= 730"], "Metodos": ["Big M", "Simplex Dual"]}</t>
        </is>
      </c>
      <c r="E4" s="5" t="inlineStr">
        <is>
          <t xml:space="preserve">{"Tipo": "Min", "z": "0.30x1+0.90x2", "R": ["0.09x1+0.60x2&gt;=30", "3.4x1+2.5x2&gt;=730"], "Metodos": ["Grafico", "Big M", "Simplex Dual"]}</t>
        </is>
      </c>
      <c r="F4" s="3" t="inlineStr">
        <is>
          <t>x1 = 200, x2 = 20 | Z = 78</t>
        </is>
      </c>
      <c r="G4" s="5" t="inlineStr">
        <is>
          <t xml:space="preserve">Grafico: x1 = 200, x2 = 20 | Z = 78
Big M: x1 = 200, x2 = 20 | Z = 78
Simplex Dual: x1 = 200, x2 = 20 | Z = 78</t>
        </is>
      </c>
      <c r="H4" s="8" t="inlineStr">
        <is>
          <t xml:space="preserve">Sí</t>
        </is>
      </c>
      <c r="I4" s="3" t="inlineStr">
        <is>
          <t xml:space="preserve">Coincide con el esperado: mismas variables y mismo Z (tolerancia 0,01) con todos los métodos marcados, y los métodos cumplen las reglas. Avisos de Vertex: Modelo generado por la IA. Revisa Z y las restricciones antes de calcular. (IA: 4.3 s)</t>
        </is>
      </c>
    </row>
    <row r="5" ht="154.5" customHeight="1">
      <c r="A5" s="2" t="n">
        <v>4</v>
      </c>
      <c r="B5" s="3" t="inlineStr">
        <is>
          <t>Variables comparadas entre sí, unidades, ≥ → Big M</t>
        </is>
      </c>
      <c r="C5" s="3" t="inlineStr">
        <is>
          <t>Una tienda de ropa va a lanzar su campaña de temporada en tres canales: radio, televisión local y redes sociales. Cada anuncio en radio cuesta 300 mil pesos y alcanza a 1.000 personas; cada anuncio en televisión cuesta 1,5 millones y alcanza a 5.000 personas; cada anuncio en redes sociales cuesta 400 mil pesos y alcanza a 1.300 personas. El presupuesto total es de 12 millones de pesos. La televisión local solo permite contratar como máximo 4 anuncios. Para mantener una imagen coherente, los anuncios en radio no pueden superar el doble de los anuncios en redes sociales, y se quiere publicar al menos 5 anuncios en redes sociales. ¿Cuántos anuncios conviene contratar en cada canal para alcanzar al mayor número de personas?</t>
        </is>
      </c>
      <c r="D5" s="4" t="inlineStr">
        <is>
          <t>{"Tipo": "Max", "z": "1000x1 + 5000x2 + 1300x3", "R": ["300x1 + 1500x2 + 400x3 &lt;= 12000", "x2 &lt;= 4", "x1 - 2x3 &lt;= 0", "x3 &gt;= 5"], "Metodos": ["Big M", "Numerico"]}</t>
        </is>
      </c>
      <c r="E5" s="5" t="inlineStr">
        <is>
          <t xml:space="preserve">{"Tipo": "Max", "z": "1000x1+5000x2+1300x3", "R": ["3x1+15x2+4x3&lt;=120", "x2&lt;=4", "x1-2x3&lt;=0", "x3&gt;=5"], "Metodos": ["Big M", "Numerico"]}</t>
        </is>
      </c>
      <c r="F5" s="3" t="inlineStr">
        <is>
          <t>x1 = 12, x2 = 4, x3 = 6 | Z = 39800</t>
        </is>
      </c>
      <c r="G5" s="5" t="inlineStr">
        <is>
          <t xml:space="preserve">Big M: x1 = 12, x2 = 4, x3 = 6 | Z = 39800
Numerico: x1 = 12, x2 = 4, x3 = 6 | Z = 39800</t>
        </is>
      </c>
      <c r="H5" s="8" t="inlineStr">
        <is>
          <t xml:space="preserve">Sí</t>
        </is>
      </c>
      <c r="I5" s="3" t="inlineStr">
        <is>
          <t xml:space="preserve">Coincide con el esperado: mismas variables y mismo Z (tolerancia 0,01) con todos los métodos marcados, y los métodos cumplen las reglas. Avisos de Vertex: Modelo generado por la IA. Revisa Z y las restricciones antes de calcular. • Restricción 1: "300000x1+1500000x2+400000x3&lt;=12000000" se simplificó a "3x1+15x2+4x3&lt;=120" (dividida entre 100000). • Restricción 3: "x1&lt;=2x3" se reescribió como "x1-2x3&lt;=0" (variables a la izquierda). Revisa que el sentido sea el correcto. (IA: 6.5 s)</t>
        </is>
      </c>
    </row>
    <row r="6" ht="87" customHeight="1">
      <c r="A6" s="2" t="n">
        <v>5</v>
      </c>
      <c r="B6" s="3" t="inlineStr">
        <is>
          <t>Restricción de igualdad (=) con cotas → Big M</t>
        </is>
      </c>
      <c r="C6" s="3" t="inlineStr">
        <is>
          <t>Un taller recibe un pedido de exactamente 100 unidades que puede fabricar en tres máquinas. El costo por unidad es de 8 dólares en la máquina 1, 6 en la máquina 2 y 9 en la máquina 3. La máquina 1 puede producir como máximo 50 unidades, la máquina 2 como máximo 40, y la máquina 3 debe producir al menos 10. ¿Cuántas unidades debe fabricar cada máquina para minimizar el costo?</t>
        </is>
      </c>
      <c r="D6" s="4" t="inlineStr">
        <is>
          <t>{"Tipo": "Min", "z": "8x1 + 6x2 + 9x3", "R": ["x1 + x2 + x3 = 100", "x1 &lt;= 50", "x2 &lt;= 40", "x3 &gt;= 10"], "Metodos": ["Big M", "Numerico"]}</t>
        </is>
      </c>
      <c r="E6" s="5" t="inlineStr">
        <is>
          <t xml:space="preserve">{"Tipo": "Min", "z": "8x1+6x2+9x3", "R": ["x1+x2+x3=100", "x1&lt;=50", "x2&lt;=40", "x3&gt;=10"], "Metodos": ["Big M", "Numerico"]}</t>
        </is>
      </c>
      <c r="F6" s="3" t="inlineStr">
        <is>
          <t>x1 = 50, x2 = 40, x3 = 10 | Z = 730</t>
        </is>
      </c>
      <c r="G6" s="5" t="inlineStr">
        <is>
          <t xml:space="preserve">Big M: x1 = 50, x2 = 40, x3 = 10 | Z = 730
Numerico: x1 = 50, x2 = 40, x3 = 10 | Z = 730</t>
        </is>
      </c>
      <c r="H6" s="8" t="inlineStr">
        <is>
          <t xml:space="preserve">Sí</t>
        </is>
      </c>
      <c r="I6" s="3" t="inlineStr">
        <is>
          <t xml:space="preserve">Coincide con el esperado: mismas variables y mismo Z (tolerancia 0,01) con todos los métodos marcados, y los métodos cumplen las reglas. Avisos de Vertex: Modelo generado por la IA. Revisa Z y las restricciones antes de calcular. (IA: 5.2 s)</t>
        </is>
      </c>
    </row>
    <row r="7" ht="60" customHeight="1">
      <c r="A7" s="2" t="n">
        <v>6</v>
      </c>
      <c r="B7" s="3" t="inlineStr">
        <is>
          <t>Porcentajes del total (restricciones con variables en ambos lados)</t>
        </is>
      </c>
      <c r="C7" s="3" t="inlineStr">
        <is>
          <t>Una tienda prepara 200 kg exactos de mezcla de frutos secos con almendras, nueces y maní, que cuestan 12, 7 y 5 dólares por kg. Al menos el 40% de la mezcla debe ser almendra y el maní no puede pasar del 30%. ¿Cuántos kg de cada fruto seco minimizan el costo?</t>
        </is>
      </c>
      <c r="D7" s="4" t="inlineStr">
        <is>
          <t>{"Tipo": "Min", "z": "12x1 + 7x2 + 5x3", "R": ["x1 + x2 + x3 = 200", "0.6x1 - 0.4x2 - 0.4x3 &gt;= 0", "-0.3x1 - 0.3x2 + 0.7x3 &lt;= 0"], "Metodos": ["Big M", "Numerico"]}</t>
        </is>
      </c>
      <c r="E7" s="5" t="inlineStr">
        <is>
          <t xml:space="preserve">{"Tipo": "Min", "z": "12x1+7x2+5x3", "R": ["x1+x2+x3=200", "0.6x1-0.4x2-0.4x3&gt;=0", "-0.3x1-0.3x2+0.7x3&lt;=0"], "Metodos": ["Big M", "Numerico"]}</t>
        </is>
      </c>
      <c r="F7" s="3" t="inlineStr">
        <is>
          <t>x1 = 80, x2 = 60, x3 = 60 | Z = 1680</t>
        </is>
      </c>
      <c r="G7" s="5" t="inlineStr">
        <is>
          <t xml:space="preserve">Big M: x1 = 80, x2 = 60, x3 = 60 | Z = 1680
Numerico: x1 = 80, x2 = 60, x3 = 60 | Z = 1680</t>
        </is>
      </c>
      <c r="H7" s="8" t="inlineStr">
        <is>
          <t xml:space="preserve">Sí</t>
        </is>
      </c>
      <c r="I7" s="3" t="inlineStr">
        <is>
          <t xml:space="preserve">Coincide con el esperado: mismas variables y mismo Z (tolerancia 0,01) con todos los métodos marcados, y los métodos cumplen las reglas. Avisos de Vertex: Modelo generado por la IA. Revisa Z y las restricciones antes de calcular. • Restricción 2: "x1&gt;=0.4x1+0.4x2+0.4x3" se reescribió como "0.6x1-0.4x2-0.4x3&gt;=0" (variables a la izquierda). Revisa que el sentido sea el correcto. • Restricción 3: "x3&lt;=0.3x1+0.3x2+0.3x3" se reescribió como "-0.3x1-0.3x2+0.7x3&lt;=0" (variables a la izquierda). Revisa que el sentido sea el correcto. (IA: 4.6 s)</t>
        </is>
      </c>
    </row>
    <row r="8" ht="100.5" customHeight="1">
      <c r="A8" s="2" t="n">
        <v>7</v>
      </c>
      <c r="B8" s="3" t="inlineStr">
        <is>
          <t>Conversión minutos ↔ horas, 2 variables, todo ≤ → Gráfico</t>
        </is>
      </c>
      <c r="C8" s="3" t="inlineStr">
        <is>
          <t>Un taller fabrica piezas A y piezas B, con utilidades de $100 y $120 por pieza. Cada pieza A necesita 30 minutos de torno y cada pieza B 45 minutos; el torno está disponible 30 horas a la semana. En pintura, cada pieza A necesita 20 minutos y cada B 15 minutos, con 15 horas disponibles. El almacén solo recibe hasta 70 piezas por semana entre ambas. ¿Cuántas piezas de cada tipo conviene fabricar para maximizar la utilidad?</t>
        </is>
      </c>
      <c r="D8" s="4" t="inlineStr">
        <is>
          <t>{"Tipo": "Max", "z": "100x1 + 120x2", "R": ["30x1 + 45x2 &lt;= 1800", "20x1 + 15x2 &lt;= 900", "x1 + x2 &lt;= 70"], "Metodos": ["Grafico", "Simplex"]}</t>
        </is>
      </c>
      <c r="E8" s="5" t="inlineStr">
        <is>
          <t xml:space="preserve">{"Tipo": "Max", "z": "100x1+120x2", "R": ["30x1+45x2&lt;=180", "20x1+15x2&lt;=150", "x1+x2&lt;=70"], "Metodos": ["Grafico", "Simplex"]}</t>
        </is>
      </c>
      <c r="F8" s="3" t="inlineStr">
        <is>
          <t>x1 = 30, x2 = 20 | Z = 5400</t>
        </is>
      </c>
      <c r="G8" s="5" t="inlineStr">
        <is>
          <t xml:space="preserve">Grafico: x1 = 6, x2 = 0 | Z = 600
Simplex: x1 = 6, x2 = 0 | Z = 600</t>
        </is>
      </c>
      <c r="H8" s="8" t="inlineStr">
        <is>
          <t xml:space="preserve">No</t>
        </is>
      </c>
      <c r="I8" s="3" t="inlineStr">
        <is>
          <t xml:space="preserve">IA: no convirtió horas a minutos. Escribió «30x1 + 45x2 &lt;= 180» (debía ser 1800 min o 30 h) y «20x1 + 15x2 &lt;= 150» (debía ser 900 min o 15 h). El modelo es válido pero resuelve otro problema. Pendiente: apunte en ideas.md. Avisos de Vertex: Modelo generado por la IA. Revisa Z y las restricciones antes de calcular. (IA: 4.6 s)</t>
        </is>
      </c>
    </row>
    <row r="9" ht="114" customHeight="1">
      <c r="A9" s="2" t="n">
        <v>8</v>
      </c>
      <c r="B9" s="3" t="inlineStr">
        <is>
          <t>Asignación 4×4 (xij, variables de 2 dígitos) → Húngaro</t>
        </is>
      </c>
      <c r="C9" s="3" t="inlineStr">
        <is>
          <t>Una empresa de mensajería debe asignar a cuatro repartidores a cuatro rutas, uno por ruta. Los tiempos en minutos son: repartidor 1: 16, 15, 6 y 5; repartidor 2: 16, 16, 9 y 15; repartidor 3: 14, 15, 12 y 9; repartidor 4: 16, 11, 15 y 10 (en el orden de las rutas 1 a 4). ¿Cómo debe asignarlos para minimizar el tiempo total?</t>
        </is>
      </c>
      <c r="D9" s="4" t="inlineStr">
        <is>
          <t>{"Tipo": "Min", "z": "16x11 + 15x12 + 6x13 + 5x14 + 16x21 + 16x22 + 9x23 + 15x24 + 14x31 + 15x32 + 12x33 + 9x34 + 16x41 + 11x42 + 15x43 + 10x44", "R": ["x11 + x12 + x13 + x14 = 1", "x21 + x22 + x23 + x24 = 1", "x31 + x32 + x33 + x34 = 1", "x41 + x42 + x43 + x44 = 1", "x11 + x21 + x31 + x41 = 1", "x12 + x22 + x32 + x42 = 1", "x13 + x23 + x33 + x43 = 1", "x14 + x24 + x34 + x44 = 1"], "Metodos": ["Hungaro"]}</t>
        </is>
      </c>
      <c r="E9" s="5" t="inlineStr">
        <is>
          <t xml:space="preserve">{"Tipo": "Min", "z": "16x11+15x12+6x13+5x14+16x21+16x22+9x23+15x24+14x31+15x32+12x33+9x34+16x41+11x42+15x43+10x44", "R": ["x11+x12+x13+x14=1", "x21+x22+x23+x24=1", "x31+x32+x33+x34=1", "x41+x42+x43+x44=1", "x11+x21+x31+x41=1", "x12+x22+x32+x42=1", "x13+x23+x33+x43=1", "x14+x24+x34+x44=1"], "Metodos": ["Hungaro"]}</t>
        </is>
      </c>
      <c r="F9" s="3" t="inlineStr">
        <is>
          <t>x14 = 1, x23 = 1, x31 = 1, x42 = 1 (resto 0) | Z = 39 min | Repartidor→Ruta: 1→4, 2→3, 3→1, 4→2</t>
        </is>
      </c>
      <c r="G9" s="5" t="inlineStr">
        <is>
          <t xml:space="preserve">Hungaro: x14 = 1, x23 = 1, x31 = 1, x42 = 1 | Z = 39</t>
        </is>
      </c>
      <c r="H9" s="8" t="inlineStr">
        <is>
          <t xml:space="preserve">Sí</t>
        </is>
      </c>
      <c r="I9" s="3" t="inlineStr">
        <is>
          <t xml:space="preserve">Coincide con el esperado: mismas variables y mismo Z (tolerancia 0,01) con todos los métodos marcados, y los métodos cumplen las reglas. Avisos de Vertex: Modelo generado por la IA. Revisa Z y las restricciones antes de calcular. (IA: 10.5 s)</t>
        </is>
      </c>
    </row>
    <row r="10" ht="87" customHeight="1">
      <c r="A10" s="2" t="n">
        <v>9</v>
      </c>
      <c r="B10" s="3" t="inlineStr">
        <is>
          <t>Transporte 3×3, oferta &gt; demanda (≤ en orígenes, = en destinos) → Costos Dual</t>
        </is>
      </c>
      <c r="C10" s="3" t="inlineStr">
        <is>
          <t>Tres bodegas tienen 100, 120 y 80 toneladas de cemento y deben abastecer a tres obras que necesitan 90, 110 y 70 toneladas. El costo por tonelada, en miles de pesos, es: desde la bodega 1: 6, 8 y 10; desde la bodega 2: 9, 5 y 7; desde la bodega 3: 4, 9 y 6 (en el orden de las obras 1 a 3). ¿Cómo debe distribuirse para minimizar el costo total de transporte?</t>
        </is>
      </c>
      <c r="D10" s="4" t="inlineStr">
        <is>
          <t>{"Tipo": "Min", "z": "6x11 + 8x12 + 10x13 + 9x21 + 5x22 + 7x23 + 4x31 + 9x32 + 6x33", "R": ["x11 + x12 + x13 &lt;= 100", "x21 + x22 + x23 &lt;= 120", "x31 + x32 + x33 &lt;= 80", "x11 + x21 + x31 = 90", "x12 + x22 + x32 = 110", "x13 + x23 + x33 = 70"], "Metodos": ["Costos Dual"]}</t>
        </is>
      </c>
      <c r="E10" s="5" t="inlineStr">
        <is>
          <t xml:space="preserve">{"Tipo": "Min", "z": "6x11+8x12+10x13+9x21+5x22+7x23+4x31+9x32+6x33", "R": ["x11+x12+x13=100", "x21+x22+x23=120", "x31+x32+x33=80", "x11+x21+x31=90", "x12+x22+x32=110", "x13+x23+x33=70"], "Metodos": ["Costos Dual"]}</t>
        </is>
      </c>
      <c r="F10" s="3" t="inlineStr">
        <is>
          <t>x11 = 70, x22 = 110, x23 = 10, x31 = 20, x33 = 60 (resto 0) | Z = 1480</t>
        </is>
      </c>
      <c r="G10" s="5" t="inlineStr">
        <is>
          <t xml:space="preserve">Costos Dual: x11 = 70, x22 = 110, x23 = 10, x31 = 20, x33 = 60 (resto 0) | Z = 1480</t>
        </is>
      </c>
      <c r="H10" s="8" t="inlineStr">
        <is>
          <t xml:space="preserve">Sí</t>
        </is>
      </c>
      <c r="I10" s="3" t="inlineStr">
        <is>
          <t xml:space="preserve">Coincide con el esperado: mismas variables y mismo Z (tolerancia 0,01) con todos los métodos marcados, y los métodos cumplen las reglas. Avisos de Vertex: Modelo generado por la IA. Revisa Z y las restricciones antes de calcular. (IA: 11.2 s)</t>
        </is>
      </c>
    </row>
    <row r="11" ht="100.5" customHeight="1">
      <c r="A11" s="2" t="n">
        <v>10</v>
      </c>
      <c r="B11" s="3" t="inlineStr">
        <is>
          <t>Variable sin costo en z (regla 7: 0x3) + igualdad</t>
        </is>
      </c>
      <c r="C11" s="3" t="inlineStr">
        <is>
          <t>Una planta prepara exactamente 100 litros de una solución mezclando el reactivo A (5 dólares por litro), el reactivo B (4 dólares por litro) y agua, que no tiene costo. Cada litro de A aporta 0,6 unidades de principio activo y cada litro de B 0,3; el agua no aporta nada. La solución final debe tener al menos 30 unidades de principio activo y no puede llevar más de 30 litros de agua. ¿Cuántos litros de cada componente minimizan el costo?</t>
        </is>
      </c>
      <c r="D11" s="4" t="inlineStr">
        <is>
          <t>{"Tipo": "Min", "z": "5x1 + 4x2 + 0x3", "R": ["x1 + x2 + x3 = 100", "0.6x1 + 0.3x2 &gt;= 30", "x3 &lt;= 30"], "Metodos": ["Big M", "Numerico"]}</t>
        </is>
      </c>
      <c r="E11" s="5" t="inlineStr">
        <is>
          <t xml:space="preserve">{"Tipo": "Min", "z": "5x1+4x2+0x3", "R": ["x1+x2+x3=100", "0.6x1+0.3x2&gt;=30", "x3&lt;=30"], "Metodos": ["Big M", "Numerico"]}</t>
        </is>
      </c>
      <c r="F11" s="3" t="inlineStr">
        <is>
          <t>x1 = 30, x2 = 40, x3 = 30 | Z = 310</t>
        </is>
      </c>
      <c r="G11" s="5" t="inlineStr">
        <is>
          <t xml:space="preserve">Big M: x1 = 30, x2 = 40, x3 = 30 | Z = 310
Numerico: x1 = 30, x2 = 40, x3 = 30 | Z = 310</t>
        </is>
      </c>
      <c r="H11" s="8" t="inlineStr">
        <is>
          <t xml:space="preserve">Sí</t>
        </is>
      </c>
      <c r="I11" s="3" t="inlineStr">
        <is>
          <t xml:space="preserve">Coincide con el esperado: mismas variables y mismo Z (tolerancia 0,01) con todos los métodos marcados, y los métodos cumplen las reglas. Avisos de Vertex: Modelo generado por la IA. Revisa Z y las restricciones antes de calcular. • Restricción 3: la frase «no más de 30 litros de agua» indica &lt;=, pero la IA escribió "x3&gt;=30"; se corrigió a "x3&lt;=30". • Se agregó a Z con costo 0: x3 (aparece en las restricciones pero no en la función objetivo). Revisa que su costo sea realmente 0. (IA: 4.3 s)</t>
        </is>
      </c>
    </row>
    <row r="13" ht="18" customHeight="1">
      <c r="B13" s="7" t="inlineStr">
        <is>
          <t xml:space="preserve">Pruebas</t>
        </is>
      </c>
      <c r="C13" s="8">
        <f>COUNTA(H2:H11)</f>
      </c>
    </row>
    <row r="14" ht="18" customHeight="1">
      <c r="B14" s="7" t="inlineStr">
        <is>
          <t xml:space="preserve">Pruebas que pasan</t>
        </is>
      </c>
      <c r="C14" s="8">
        <f>COUNTIF(H2:H11,"Sí")</f>
      </c>
    </row>
    <row r="15" ht="18" customHeight="1">
      <c r="B15" s="7" t="inlineStr">
        <is>
          <t xml:space="preserve">Porcentaje de error</t>
        </is>
      </c>
      <c r="C15" s="9">
        <f>COUNTIF(H2:H11,"No")/COUNTA(H2:H11)</f>
      </c>
      <c r="D15" s="3" t="inlineStr">
        <is>
          <t xml:space="preserve">Pruebas que no pasan ÷ total (columna H)</t>
        </is>
      </c>
    </row>
    <row r="16" ht="18" customHeight="1">
      <c r="B16" s="7" t="inlineStr">
        <is>
          <t xml:space="preserve">Error atribuible a la IA</t>
        </is>
      </c>
      <c r="C16" s="9">
        <f>COUNTIF(I2:I11,"IA:*")/COUNTA(H2:H11)</f>
      </c>
      <c r="D16" s="3" t="inlineStr">
        <is>
          <t xml:space="preserve">Fallas cuya causa (columna I) empieza por «IA:»</t>
        </is>
      </c>
    </row>
    <row r="17" ht="18" customHeight="1">
      <c r="B17" s="7" t="inlineStr">
        <is>
          <t xml:space="preserve">Error atribuible a Vertex</t>
        </is>
      </c>
      <c r="C17" s="9">
        <f>COUNTIF(I2:I11,"Vertex:*")/COUNTA(H2:H11)</f>
      </c>
      <c r="D17" s="3" t="inlineStr">
        <is>
          <t xml:space="preserve">Fallas cuya causa (columna I) empieza por «Vertex:»</t>
        </is>
      </c>
    </row>
    <row r="18" ht="30" customHeight="1">
      <c r="B18" s="3" t="inlineStr">
        <is>
          <t xml:space="preserve">Modelo probado</t>
        </is>
      </c>
      <c r="C18" s="3" t="inlineStr">
        <is>
          <t xml:space="preserve">qwen2.5:3b (Ollama 0.40.2), modelador de Vertex 2.0.0, 2026-10-09. «Json respondido» es el JSON que Vertex inyecta en el Editor, ya normalizado (escala, variables a la izquierda, Metodos calculados por Vertex). Prueba hecha manejando la app: se escribió cada enunciado en Texto libre, se presionó Analizar y luego Calcular; «Json respondido» es lo que quedó en el Editor y «Resultado dado» lo que mostraron las ventanas de resultados (2.ª corrida, tras las 3 correcciones).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95" customWidth="1" min="2" max="2"/>
  </cols>
  <sheetData>
    <row r="1">
      <c r="A1" s="6" t="inlineStr">
        <is>
          <t>Lote de pruebas para el modelador de Vertex</t>
        </is>
      </c>
    </row>
    <row r="3" ht="35" customHeight="1">
      <c r="A3" s="7" t="inlineStr">
        <is>
          <t>Qué es</t>
        </is>
      </c>
      <c r="B3" s="3" t="inlineStr">
        <is>
          <t>10 enunciados en lenguaje natural con su modelo esperado (formato JSON de Vertex) y su solución, verificada con un solver. Sirve para comparar Ollama con una API u otros modelos con los mismos problemas.</t>
        </is>
      </c>
    </row>
    <row r="4" ht="35" customHeight="1">
      <c r="A4" s="7" t="inlineStr">
        <is>
          <t>Celdas que debes llenar</t>
        </is>
      </c>
      <c r="B4" s="3" t="inlineStr">
        <is>
          <t>Las columnas amarillas de la hoja Lote: «Json respondido» (lo que devuelve el modelo, tal cual) y «Resultado dado» (lo que calcula Vertex con ese modelo).</t>
        </is>
      </c>
    </row>
    <row r="5" ht="48.5" customHeight="1">
      <c r="A5" s="7" t="inlineStr">
        <is>
          <t>Ejemplo de llenado (fila 4)</t>
        </is>
      </c>
      <c r="B5" s="3" t="inlineStr">
        <is>
          <t>Json respondido: {"Tipo": "Max", "z": "1000x1 + 5000x2 + 1300x3", "R": ["300x1 + 1500x2 + 400x3 &lt;= 12000", "x2 &lt;= 4", "x1 - 2x3 &lt;= 0", "x3 &gt;= 5"], "Metodos": ["Big M", "Numerico"]}
Resultado dado: x1 = 12, x2 = 4, x3 = 6 | Z = 39800</t>
        </is>
      </c>
    </row>
    <row r="6" ht="48.5" customHeight="1">
      <c r="A6" s="7" t="inlineStr">
        <is>
          <t>Cómo decidir si pasa</t>
        </is>
      </c>
      <c r="B6" s="3" t="inlineStr">
        <is>
          <t>1) Lo que cuenta es el RESULTADO: mismas variables y mismo Z (tolerancia 0,01). 2) El JSON no tiene que ser idéntico: basta que sea equivalente (ver abajo). 3) «Metodos» es válido si cada método es aplicable según las reglas del prompt, aunque el orden varíe.</t>
        </is>
      </c>
    </row>
    <row r="7" ht="62" customHeight="1">
      <c r="A7" s="7" t="inlineStr">
        <is>
          <t>Formas equivalentes aceptables</t>
        </is>
      </c>
      <c r="B7" s="3" t="inlineStr">
        <is>
          <t>P4: el presupuesto puede ir en miles de pesos (12000), en pesos (12000000) o reescalado (÷100000). P6: como el total es fijo en 200, «x1 &gt;= 80» y «x3 &lt;= 60» equivalen a los porcentajes. P7: el torno puede ir en minutos («30x1 + 45x2 &lt;= 1800») o en horas («0.5x1 + 0.75x2 &lt;= 30»); la pintura igual. Cualquier restricción multiplicada por una constante positiva es la misma.</t>
        </is>
      </c>
    </row>
    <row r="8" ht="35" customHeight="1">
      <c r="A8" s="7" t="inlineStr">
        <is>
          <t>Ojo con el reescalado</t>
        </is>
      </c>
      <c r="B8" s="3" t="inlineStr">
        <is>
          <t>Si el modelo reescala una restricción (por ejemplo, dividirla entre 100000), la solución y Z no cambian, pero holguras y precios sombra quedan en la unidad nueva.</t>
        </is>
      </c>
    </row>
    <row r="9" ht="48.5" customHeight="1">
      <c r="A9" s="7" t="inlineStr">
        <is>
          <t>Reglas de «Metodos» (del prompt)</t>
        </is>
      </c>
      <c r="B9" s="3" t="inlineStr">
        <is>
          <t>Grafico: solo con exactamente 2 variables. Simplex: solo si TODAS las restricciones son &lt;=. Big M: si hay alguna &gt;= o =. Simplex Dual: minimización con &gt;= y costos positivos. Numerico: respaldo. Hungaro: solo asignación (xij). Costos Dual: solo transporte (xij). No mezclar los de xij con los de variables simples.</t>
        </is>
      </c>
    </row>
    <row r="10" ht="35" customHeight="1">
      <c r="A10" s="7" t="inlineStr">
        <is>
          <t>Tipos de problema</t>
        </is>
      </c>
      <c r="B10" s="3" t="inlineStr">
        <is>
          <t>Los problemas 1–7 y 10 usan variables simples (x1, x2, …). El 8 (asignación) y el 9 (transporte) usan doble índice xij. Ninguno mezcla los dos tipos.</t>
        </is>
      </c>
    </row>
    <row r="11" ht="48.5" customHeight="1">
      <c r="A11" s="7" t="inlineStr">
        <is>
          <t>Qué mide cada uno</t>
        </is>
      </c>
      <c r="B11" s="3" t="inlineStr">
        <is>
          <t>P1 y P2: todo &lt;= con decimales. P3: minimización con &gt;=. P4: variables comparadas entre sí, unidades y &gt;=. P5: restricción de igualdad. P6: porcentajes del total. P7: conversión minutos/horas. P8: asignación 4×4. P9: transporte con oferta mayor que demanda. P10: variable sin costo en z (regla 7, «+ 0x3»).</t>
        </is>
      </c>
    </row>
    <row r="12" ht="35" customHeight="1">
      <c r="A12" s="7" t="inlineStr">
        <is>
          <t>Verificación</t>
        </is>
      </c>
      <c r="B12" s="3" t="inlineStr">
        <is>
          <t>Todas las soluciones esperadas se calcularon con un solver y se comprobó que son únicas (sin empates entre óptimos).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2026-10-10T01:35:31Z</dcterms:created>
  <dcterms:modified xmlns:dcterms="http://purl.org/dc/terms/" xmlns:xsi="http://www.w3.org/2001/XMLSchema-instance" xsi:type="dcterms:W3CDTF">2026-10-10T01:35:31Z</dcterms:modified>
</cp:coreProperties>
</file>